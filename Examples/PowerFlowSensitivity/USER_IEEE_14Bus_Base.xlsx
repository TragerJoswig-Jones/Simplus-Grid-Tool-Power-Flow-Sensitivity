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Trager Joswig-Jones\GithubRepos\Simplus-Grid-Tool\Examples\PowerFlowSensitivity\"/>
    </mc:Choice>
  </mc:AlternateContent>
  <xr:revisionPtr revIDLastSave="0" documentId="13_ncr:1_{B463D280-908B-4BA0-9011-665688458E2A}" xr6:coauthVersionLast="47" xr6:coauthVersionMax="47" xr10:uidLastSave="{00000000-0000-0000-0000-000000000000}"/>
  <bookViews>
    <workbookView xWindow="62805" yWindow="5715" windowWidth="17280" windowHeight="8880" xr2:uid="{00000000-000D-0000-FFFF-FFFF00000000}"/>
  </bookViews>
  <sheets>
    <sheet name="Bus" sheetId="1" r:id="rId1"/>
    <sheet name="Apparatus" sheetId="3" r:id="rId2"/>
    <sheet name="NetworkLine_IEEE" sheetId="5" r:id="rId3"/>
    <sheet name="NetworkLine" sheetId="2" r:id="rId4"/>
    <sheet name="Basic" sheetId="4" r:id="rId5"/>
    <sheet name="Advanc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1" l="1"/>
  <c r="F4" i="1"/>
  <c r="F8" i="1"/>
  <c r="G16" i="1"/>
  <c r="G15" i="1"/>
  <c r="G14" i="1"/>
  <c r="G13" i="1"/>
  <c r="G12" i="1"/>
  <c r="G11" i="1"/>
  <c r="G8" i="1"/>
  <c r="G7" i="1"/>
  <c r="G6" i="1"/>
  <c r="G5" i="1"/>
  <c r="B2" i="4"/>
  <c r="E11" i="5"/>
  <c r="E10" i="5"/>
  <c r="E9" i="5"/>
  <c r="E8" i="5"/>
  <c r="E7" i="5"/>
  <c r="E6" i="5"/>
  <c r="H16" i="1"/>
  <c r="H15" i="1"/>
  <c r="H14" i="1"/>
  <c r="H13" i="1"/>
  <c r="H12" i="1"/>
  <c r="H11" i="1"/>
  <c r="J10" i="1"/>
  <c r="I10" i="1"/>
  <c r="J8" i="1"/>
  <c r="I8" i="1"/>
  <c r="H8" i="1"/>
  <c r="H7" i="1"/>
  <c r="H6" i="1"/>
  <c r="J5" i="1"/>
  <c r="H5" i="1"/>
  <c r="F5" i="1"/>
  <c r="J4" i="1"/>
  <c r="I4" i="1"/>
  <c r="H4" i="1"/>
</calcChain>
</file>

<file path=xl/sharedStrings.xml><?xml version="1.0" encoding="utf-8"?>
<sst xmlns="http://schemas.openxmlformats.org/spreadsheetml/2006/main" count="55" uniqueCount="50">
  <si>
    <t>R (pu)</t>
    <phoneticPr fontId="1" type="noConversion"/>
  </si>
  <si>
    <t>wL (pu)</t>
    <phoneticPr fontId="1" type="noConversion"/>
  </si>
  <si>
    <t>wC (pu)</t>
    <phoneticPr fontId="1" type="noConversion"/>
  </si>
  <si>
    <t>G (pu)</t>
    <phoneticPr fontId="1" type="noConversion"/>
  </si>
  <si>
    <t>This sheet summarizes the parameters for network line impedance.</t>
    <phoneticPr fontId="1" type="noConversion"/>
  </si>
  <si>
    <t>This sheet summarizes the parameters for power flow analysis</t>
    <phoneticPr fontId="1" type="noConversion"/>
  </si>
  <si>
    <t>Samping frequency (Hz)</t>
    <phoneticPr fontId="1" type="noConversion"/>
  </si>
  <si>
    <t>This sheet summarizes the parameters for network line impedance in IEEE form.</t>
    <phoneticPr fontId="1" type="noConversion"/>
  </si>
  <si>
    <t>Enable:</t>
    <phoneticPr fontId="1" type="noConversion"/>
  </si>
  <si>
    <t>X (pu)</t>
    <phoneticPr fontId="1" type="noConversion"/>
  </si>
  <si>
    <t>This sheet summarizes basic settings</t>
    <phoneticPr fontId="1" type="noConversion"/>
  </si>
  <si>
    <t>PGi (pu)</t>
    <phoneticPr fontId="1" type="noConversion"/>
  </si>
  <si>
    <t>QGi (pu)</t>
    <phoneticPr fontId="1" type="noConversion"/>
  </si>
  <si>
    <t>PLi (pu)</t>
    <phoneticPr fontId="1" type="noConversion"/>
  </si>
  <si>
    <t>QLi (pu)</t>
    <phoneticPr fontId="1" type="noConversion"/>
  </si>
  <si>
    <t>Qmin (pu)</t>
    <phoneticPr fontId="1" type="noConversion"/>
  </si>
  <si>
    <t>Qmax (pu)</t>
    <phoneticPr fontId="1" type="noConversion"/>
  </si>
  <si>
    <t>Vsp (pu)</t>
    <phoneticPr fontId="1" type="noConversion"/>
  </si>
  <si>
    <t>This sheet summaries advanced settings.</t>
    <phoneticPr fontId="1" type="noConversion"/>
  </si>
  <si>
    <t>Bus number</t>
    <phoneticPr fontId="1" type="noConversion"/>
  </si>
  <si>
    <t>Enable (create simulink model)</t>
    <phoneticPr fontId="1" type="noConversion"/>
  </si>
  <si>
    <t>Enable (plot pole map)</t>
    <phoneticPr fontId="1" type="noConversion"/>
  </si>
  <si>
    <t>Enable (plot admittance)</t>
    <phoneticPr fontId="1" type="noConversion"/>
  </si>
  <si>
    <t>Enable (print output)</t>
    <phoneticPr fontId="1" type="noConversion"/>
  </si>
  <si>
    <t>Discretization damping flag</t>
    <phoneticPr fontId="1" type="noConversion"/>
  </si>
  <si>
    <t>Discretization method</t>
    <phoneticPr fontId="1" type="noConversion"/>
  </si>
  <si>
    <t>Linearization times</t>
    <phoneticPr fontId="1" type="noConversion"/>
  </si>
  <si>
    <t>Direct feedthrough</t>
    <phoneticPr fontId="1" type="noConversion"/>
  </si>
  <si>
    <t>Power flow algorithm</t>
    <phoneticPr fontId="1" type="noConversion"/>
  </si>
  <si>
    <t>Base frequency (Hz)</t>
    <phoneticPr fontId="1" type="noConversion"/>
  </si>
  <si>
    <t>Base power (VA)</t>
    <phoneticPr fontId="1" type="noConversion"/>
  </si>
  <si>
    <t>Base voltage (V)</t>
    <phoneticPr fontId="1" type="noConversion"/>
  </si>
  <si>
    <t>Bus</t>
    <phoneticPr fontId="1" type="noConversion"/>
  </si>
  <si>
    <t>Type</t>
    <phoneticPr fontId="1" type="noConversion"/>
  </si>
  <si>
    <t>Turns ratio (pu)</t>
    <phoneticPr fontId="1" type="noConversion"/>
  </si>
  <si>
    <t>From bus</t>
    <phoneticPr fontId="1" type="noConversion"/>
  </si>
  <si>
    <t>To bus</t>
    <phoneticPr fontId="1" type="noConversion"/>
  </si>
  <si>
    <t>theta (rad)</t>
    <phoneticPr fontId="1" type="noConversion"/>
  </si>
  <si>
    <t>Item</t>
    <phoneticPr fontId="1" type="noConversion"/>
  </si>
  <si>
    <t>Value</t>
    <phoneticPr fontId="1" type="noConversion"/>
  </si>
  <si>
    <t>B (pu)</t>
    <phoneticPr fontId="1" type="noConversion"/>
  </si>
  <si>
    <t>Enable (modal analysis)</t>
    <phoneticPr fontId="1" type="noConversion"/>
  </si>
  <si>
    <t>User data:</t>
    <phoneticPr fontId="1" type="noConversion"/>
  </si>
  <si>
    <t>Turns Ratio (pu)</t>
    <phoneticPr fontId="1" type="noConversion"/>
  </si>
  <si>
    <t>Area No.</t>
    <phoneticPr fontId="1" type="noConversion"/>
  </si>
  <si>
    <t>AC or DC</t>
    <phoneticPr fontId="1" type="noConversion"/>
  </si>
  <si>
    <t>Apparatus type</t>
    <phoneticPr fontId="1" type="noConversion"/>
  </si>
  <si>
    <t>Apparatus parameters</t>
    <phoneticPr fontId="1" type="noConversion"/>
  </si>
  <si>
    <t>This sheet summarizes the apparatuses connected to buses.</t>
    <phoneticPr fontId="1" type="noConversion"/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</si>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</sst>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00"/>
  </numFmts>
  <fonts count="8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5" fontId="6" fillId="0" borderId="0" xfId="0" applyNumberFormat="1" applyFont="1"/>
    <xf numFmtId="164" fontId="6" fillId="0" borderId="0" xfId="0" applyNumberFormat="1" applyFont="1"/>
    <xf numFmtId="165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F11" sqref="F11"/>
    </sheetView>
  </sheetViews>
  <sheetFormatPr defaultRowHeight="14.4"/>
  <cols>
    <col min="4" max="4" width="11.109375" customWidth="1"/>
    <col min="9" max="9" width="10.88671875" customWidth="1"/>
    <col min="10" max="10" width="11.109375" customWidth="1"/>
  </cols>
  <sheetData>
    <row r="1" spans="1:12">
      <c r="A1" s="4" t="s">
        <v>5</v>
      </c>
    </row>
    <row r="2" spans="1:12">
      <c r="A2" s="3" t="s">
        <v>32</v>
      </c>
      <c r="B2" s="3" t="s">
        <v>33</v>
      </c>
      <c r="C2" s="3" t="s">
        <v>17</v>
      </c>
      <c r="D2" s="3" t="s">
        <v>37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44</v>
      </c>
      <c r="L2" s="3" t="s">
        <v>45</v>
      </c>
    </row>
    <row r="3" spans="1:12">
      <c r="A3" s="6">
        <v>1</v>
      </c>
      <c r="B3">
        <v>1</v>
      </c>
      <c r="C3">
        <v>1.01</v>
      </c>
      <c r="D3">
        <v>0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</row>
    <row r="4" spans="1:12">
      <c r="A4" s="6">
        <v>2</v>
      </c>
      <c r="B4">
        <v>3</v>
      </c>
      <c r="C4">
        <v>1.0449999999999999</v>
      </c>
      <c r="D4">
        <v>0</v>
      </c>
      <c r="E4">
        <v>0.1</v>
      </c>
      <c r="F4">
        <f>42.4/100</f>
        <v>0.42399999999999999</v>
      </c>
      <c r="G4">
        <f>21.7/100 +0.5</f>
        <v>0.71699999999999997</v>
      </c>
      <c r="H4">
        <f>12.7/100</f>
        <v>0.127</v>
      </c>
      <c r="I4">
        <f>-40/100</f>
        <v>-0.4</v>
      </c>
      <c r="J4">
        <f>50/100</f>
        <v>0.5</v>
      </c>
      <c r="K4">
        <v>1</v>
      </c>
      <c r="L4">
        <v>1</v>
      </c>
    </row>
    <row r="5" spans="1:12">
      <c r="A5" s="6">
        <v>3</v>
      </c>
      <c r="B5">
        <v>3</v>
      </c>
      <c r="C5">
        <v>1.01</v>
      </c>
      <c r="D5">
        <v>0</v>
      </c>
      <c r="E5">
        <v>0.2</v>
      </c>
      <c r="F5">
        <f>23.4/100</f>
        <v>0.23399999999999999</v>
      </c>
      <c r="G5">
        <f>94.2/100</f>
        <v>0.94200000000000006</v>
      </c>
      <c r="H5">
        <f>19/100</f>
        <v>0.19</v>
      </c>
      <c r="I5">
        <v>0</v>
      </c>
      <c r="J5">
        <f>40/100</f>
        <v>0.4</v>
      </c>
      <c r="K5">
        <v>1</v>
      </c>
      <c r="L5">
        <v>1</v>
      </c>
    </row>
    <row r="6" spans="1:12">
      <c r="A6" s="7">
        <v>4</v>
      </c>
      <c r="B6">
        <v>3</v>
      </c>
      <c r="C6">
        <v>1</v>
      </c>
      <c r="D6">
        <v>0</v>
      </c>
      <c r="E6">
        <v>0</v>
      </c>
      <c r="F6">
        <v>0</v>
      </c>
      <c r="G6">
        <f>47.8/100 + 0.2</f>
        <v>0.67799999999999994</v>
      </c>
      <c r="H6">
        <f>-3.9/100</f>
        <v>-3.9E-2</v>
      </c>
      <c r="I6">
        <v>0</v>
      </c>
      <c r="J6">
        <v>0</v>
      </c>
      <c r="K6">
        <v>1</v>
      </c>
      <c r="L6">
        <v>1</v>
      </c>
    </row>
    <row r="7" spans="1:12">
      <c r="A7" s="7">
        <v>5</v>
      </c>
      <c r="B7">
        <v>3</v>
      </c>
      <c r="C7">
        <v>1</v>
      </c>
      <c r="D7">
        <v>0</v>
      </c>
      <c r="E7">
        <v>0</v>
      </c>
      <c r="F7">
        <v>0</v>
      </c>
      <c r="G7">
        <f>7.6/100 + 0.2</f>
        <v>0.27600000000000002</v>
      </c>
      <c r="H7">
        <f>1.6/100</f>
        <v>1.6E-2</v>
      </c>
      <c r="I7">
        <v>0</v>
      </c>
      <c r="J7">
        <v>0</v>
      </c>
      <c r="K7">
        <v>1</v>
      </c>
      <c r="L7">
        <v>1</v>
      </c>
    </row>
    <row r="8" spans="1:12">
      <c r="A8" s="6">
        <v>6</v>
      </c>
      <c r="B8">
        <v>3</v>
      </c>
      <c r="C8">
        <v>1</v>
      </c>
      <c r="D8">
        <v>0</v>
      </c>
      <c r="E8">
        <v>0.5</v>
      </c>
      <c r="F8">
        <f>12.2/100</f>
        <v>0.122</v>
      </c>
      <c r="G8">
        <f>11.2/100</f>
        <v>0.11199999999999999</v>
      </c>
      <c r="H8">
        <f>7.5/100</f>
        <v>7.4999999999999997E-2</v>
      </c>
      <c r="I8">
        <f>-6/100</f>
        <v>-0.06</v>
      </c>
      <c r="J8">
        <f>24/100</f>
        <v>0.24</v>
      </c>
      <c r="K8">
        <v>1</v>
      </c>
      <c r="L8">
        <v>1</v>
      </c>
    </row>
    <row r="9" spans="1:12">
      <c r="A9" s="7">
        <v>7</v>
      </c>
      <c r="B9">
        <v>3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</row>
    <row r="10" spans="1:12">
      <c r="A10" s="6">
        <v>8</v>
      </c>
      <c r="B10">
        <v>3</v>
      </c>
      <c r="C10">
        <v>1</v>
      </c>
      <c r="D10">
        <v>0</v>
      </c>
      <c r="E10">
        <v>0.5</v>
      </c>
      <c r="F10">
        <v>0.1</v>
      </c>
      <c r="G10">
        <v>0</v>
      </c>
      <c r="H10">
        <v>-0.1</v>
      </c>
      <c r="I10">
        <f>-6/100</f>
        <v>-0.06</v>
      </c>
      <c r="J10">
        <f>24/100</f>
        <v>0.24</v>
      </c>
      <c r="K10">
        <v>1</v>
      </c>
      <c r="L10">
        <v>1</v>
      </c>
    </row>
    <row r="11" spans="1:12">
      <c r="A11" s="7">
        <v>9</v>
      </c>
      <c r="B11">
        <v>3</v>
      </c>
      <c r="C11">
        <v>1</v>
      </c>
      <c r="D11">
        <v>0</v>
      </c>
      <c r="E11">
        <v>0</v>
      </c>
      <c r="F11">
        <v>0</v>
      </c>
      <c r="G11">
        <f>29.5/100</f>
        <v>0.29499999999999998</v>
      </c>
      <c r="H11">
        <f>16.6/100</f>
        <v>0.16600000000000001</v>
      </c>
      <c r="I11">
        <v>0</v>
      </c>
      <c r="J11">
        <v>0</v>
      </c>
      <c r="K11">
        <v>1</v>
      </c>
      <c r="L11">
        <v>1</v>
      </c>
    </row>
    <row r="12" spans="1:12">
      <c r="A12" s="6">
        <v>10</v>
      </c>
      <c r="B12">
        <v>3</v>
      </c>
      <c r="C12">
        <v>1</v>
      </c>
      <c r="D12">
        <v>0</v>
      </c>
      <c r="E12">
        <v>0.5</v>
      </c>
      <c r="F12">
        <v>0.05</v>
      </c>
      <c r="G12">
        <f>9/100</f>
        <v>0.09</v>
      </c>
      <c r="H12">
        <f>5.8/100</f>
        <v>5.7999999999999996E-2</v>
      </c>
      <c r="I12">
        <v>0</v>
      </c>
      <c r="J12">
        <v>0</v>
      </c>
      <c r="K12">
        <v>1</v>
      </c>
      <c r="L12">
        <v>1</v>
      </c>
    </row>
    <row r="13" spans="1:12">
      <c r="A13">
        <v>11</v>
      </c>
      <c r="B13">
        <v>3</v>
      </c>
      <c r="C13">
        <v>1</v>
      </c>
      <c r="D13">
        <v>0</v>
      </c>
      <c r="E13">
        <v>0</v>
      </c>
      <c r="F13">
        <v>0</v>
      </c>
      <c r="G13">
        <f>3.5/100</f>
        <v>3.5000000000000003E-2</v>
      </c>
      <c r="H13">
        <f>1.8/100</f>
        <v>1.8000000000000002E-2</v>
      </c>
      <c r="I13">
        <v>0</v>
      </c>
      <c r="J13">
        <v>0</v>
      </c>
      <c r="K13">
        <v>1</v>
      </c>
      <c r="L13">
        <v>1</v>
      </c>
    </row>
    <row r="14" spans="1:12">
      <c r="A14">
        <v>12</v>
      </c>
      <c r="B14">
        <v>3</v>
      </c>
      <c r="C14">
        <v>1</v>
      </c>
      <c r="D14">
        <v>0</v>
      </c>
      <c r="E14">
        <v>0</v>
      </c>
      <c r="F14">
        <v>0</v>
      </c>
      <c r="G14">
        <f>6.1/100</f>
        <v>6.0999999999999999E-2</v>
      </c>
      <c r="H14">
        <f>1.6/100</f>
        <v>1.6E-2</v>
      </c>
      <c r="I14">
        <v>0</v>
      </c>
      <c r="J14">
        <v>0</v>
      </c>
      <c r="K14">
        <v>1</v>
      </c>
      <c r="L14">
        <v>1</v>
      </c>
    </row>
    <row r="15" spans="1:12">
      <c r="A15">
        <v>13</v>
      </c>
      <c r="B15">
        <v>3</v>
      </c>
      <c r="C15">
        <v>1</v>
      </c>
      <c r="D15">
        <v>0</v>
      </c>
      <c r="E15">
        <v>0</v>
      </c>
      <c r="F15">
        <v>0</v>
      </c>
      <c r="G15">
        <f>13.5/100</f>
        <v>0.13500000000000001</v>
      </c>
      <c r="H15">
        <f>5.8/100</f>
        <v>5.7999999999999996E-2</v>
      </c>
      <c r="I15">
        <v>0</v>
      </c>
      <c r="J15">
        <v>0</v>
      </c>
      <c r="K15">
        <v>1</v>
      </c>
      <c r="L15">
        <v>1</v>
      </c>
    </row>
    <row r="16" spans="1:12">
      <c r="A16">
        <v>14</v>
      </c>
      <c r="B16">
        <v>3</v>
      </c>
      <c r="C16">
        <v>1</v>
      </c>
      <c r="D16">
        <v>0</v>
      </c>
      <c r="E16">
        <v>0</v>
      </c>
      <c r="F16">
        <v>0</v>
      </c>
      <c r="G16">
        <f>14.9/100</f>
        <v>0.14899999999999999</v>
      </c>
      <c r="H16">
        <f>5/100</f>
        <v>0.05</v>
      </c>
      <c r="I16">
        <v>0</v>
      </c>
      <c r="J16">
        <v>0</v>
      </c>
      <c r="K16">
        <v>1</v>
      </c>
      <c r="L1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5F5B-1D7A-4323-9AD6-5FF81941CA24}">
  <dimension ref="A1:K10"/>
  <sheetViews>
    <sheetView workbookViewId="0">
      <selection activeCell="B7" sqref="B7"/>
    </sheetView>
  </sheetViews>
  <sheetFormatPr defaultRowHeight="14.4"/>
  <cols>
    <col min="1" max="1" width="12.88671875" customWidth="1"/>
    <col min="2" max="2" width="29.5546875" customWidth="1"/>
    <col min="3" max="3" width="14" customWidth="1"/>
    <col min="4" max="4" width="15.109375" customWidth="1"/>
    <col min="5" max="5" width="12.44140625" customWidth="1"/>
    <col min="6" max="6" width="13.5546875" customWidth="1"/>
    <col min="7" max="7" width="13.88671875" customWidth="1"/>
    <col min="8" max="8" width="15.109375" customWidth="1"/>
    <col min="9" max="9" width="18.88671875" customWidth="1"/>
    <col min="10" max="10" width="18.5546875" customWidth="1"/>
    <col min="11" max="11" width="17.109375" customWidth="1"/>
    <col min="12" max="12" width="17.88671875" customWidth="1"/>
    <col min="13" max="13" width="14.44140625" customWidth="1"/>
    <col min="14" max="14" width="13.109375" customWidth="1"/>
  </cols>
  <sheetData>
    <row r="1" spans="1:11">
      <c r="A1" s="3" t="s">
        <v>48</v>
      </c>
    </row>
    <row r="2" spans="1:11">
      <c r="A2" s="3" t="s">
        <v>19</v>
      </c>
      <c r="B2" s="3" t="s">
        <v>46</v>
      </c>
      <c r="C2" s="3" t="s">
        <v>47</v>
      </c>
    </row>
    <row r="3" spans="1:11">
      <c r="A3" s="7">
        <v>1</v>
      </c>
      <c r="B3">
        <v>0</v>
      </c>
      <c r="C3" s="7">
        <v>3.5</v>
      </c>
      <c r="D3" s="7">
        <v>5</v>
      </c>
      <c r="E3" s="7">
        <v>0.1</v>
      </c>
      <c r="F3" s="7">
        <v>0.01</v>
      </c>
      <c r="G3" s="8"/>
      <c r="H3" s="8"/>
      <c r="I3" s="8"/>
      <c r="J3" s="9"/>
      <c r="K3" s="7"/>
    </row>
    <row r="4" spans="1:11">
      <c r="A4" s="7">
        <v>2</v>
      </c>
      <c r="B4">
        <v>10</v>
      </c>
      <c r="C4" s="7">
        <v>2.5</v>
      </c>
      <c r="D4" s="7">
        <v>1.25</v>
      </c>
      <c r="E4" s="7">
        <v>0.03</v>
      </c>
      <c r="F4" s="7">
        <v>0.01</v>
      </c>
      <c r="G4" s="7">
        <v>5</v>
      </c>
      <c r="H4" s="7">
        <v>5</v>
      </c>
      <c r="I4" s="7">
        <v>600</v>
      </c>
      <c r="J4" s="7"/>
      <c r="K4" s="7"/>
    </row>
    <row r="5" spans="1:11">
      <c r="A5" s="7">
        <v>3</v>
      </c>
      <c r="B5">
        <v>10</v>
      </c>
      <c r="C5" s="7">
        <v>2.5</v>
      </c>
      <c r="D5" s="7">
        <v>1.25</v>
      </c>
      <c r="E5" s="7">
        <v>0.03</v>
      </c>
      <c r="F5" s="7">
        <v>0.01</v>
      </c>
      <c r="G5" s="7">
        <v>5</v>
      </c>
      <c r="H5" s="7">
        <v>5</v>
      </c>
      <c r="I5" s="7">
        <v>600</v>
      </c>
      <c r="J5" s="10"/>
      <c r="K5" s="7"/>
    </row>
    <row r="6" spans="1:11">
      <c r="A6" s="7">
        <v>6</v>
      </c>
      <c r="B6">
        <v>10</v>
      </c>
      <c r="C6" s="7">
        <v>2.5</v>
      </c>
      <c r="D6" s="7">
        <v>1.25</v>
      </c>
      <c r="E6" s="7">
        <v>0.03</v>
      </c>
      <c r="F6" s="7">
        <v>0.01</v>
      </c>
      <c r="G6" s="7">
        <v>5</v>
      </c>
      <c r="H6" s="7">
        <v>5</v>
      </c>
      <c r="I6" s="7">
        <v>600</v>
      </c>
      <c r="J6" s="10"/>
      <c r="K6" s="7"/>
    </row>
    <row r="7" spans="1:11">
      <c r="A7" s="7">
        <v>8</v>
      </c>
      <c r="B7">
        <v>10</v>
      </c>
      <c r="C7" s="7">
        <v>2.5</v>
      </c>
      <c r="D7" s="7">
        <v>1.25</v>
      </c>
      <c r="E7" s="7">
        <v>0.03</v>
      </c>
      <c r="F7" s="7">
        <v>0.01</v>
      </c>
      <c r="G7" s="7">
        <v>5</v>
      </c>
      <c r="H7" s="7">
        <v>5</v>
      </c>
      <c r="I7" s="7">
        <v>600</v>
      </c>
      <c r="J7" s="7"/>
      <c r="K7" s="7"/>
    </row>
    <row r="8" spans="1:11">
      <c r="A8" s="7">
        <v>10</v>
      </c>
      <c r="B8">
        <v>10</v>
      </c>
      <c r="C8" s="7">
        <v>2.5</v>
      </c>
      <c r="D8" s="7">
        <v>1.25</v>
      </c>
      <c r="E8" s="7">
        <v>0.03</v>
      </c>
      <c r="F8" s="7">
        <v>0.01</v>
      </c>
      <c r="G8" s="7">
        <v>5</v>
      </c>
      <c r="H8" s="7">
        <v>5</v>
      </c>
      <c r="I8" s="7">
        <v>600</v>
      </c>
      <c r="J8" s="10"/>
      <c r="K8" s="7"/>
    </row>
    <row r="9" spans="1:11">
      <c r="C9" s="7"/>
      <c r="D9" s="7"/>
      <c r="E9" s="7"/>
      <c r="F9" s="7"/>
      <c r="G9" s="7"/>
      <c r="H9" s="7"/>
      <c r="I9" s="7"/>
      <c r="J9" s="7"/>
      <c r="K9" s="7"/>
    </row>
    <row r="10" spans="1:11">
      <c r="C10" s="7"/>
      <c r="D10" s="7"/>
      <c r="E10" s="7"/>
      <c r="F10" s="7"/>
      <c r="G10" s="7"/>
      <c r="H10" s="7"/>
      <c r="I10" s="7"/>
      <c r="J10" s="7"/>
      <c r="K10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0B5E-E2E7-41B8-8388-8931D474EA96}">
  <dimension ref="A1:G26"/>
  <sheetViews>
    <sheetView topLeftCell="A13" workbookViewId="0">
      <selection activeCell="B25" sqref="B25"/>
    </sheetView>
  </sheetViews>
  <sheetFormatPr defaultRowHeight="14.4"/>
  <cols>
    <col min="5" max="5" width="10.109375" bestFit="1" customWidth="1"/>
    <col min="7" max="7" width="15.5546875" customWidth="1"/>
  </cols>
  <sheetData>
    <row r="1" spans="1:7">
      <c r="A1" s="3" t="s">
        <v>7</v>
      </c>
    </row>
    <row r="2" spans="1:7">
      <c r="A2" s="3" t="s">
        <v>8</v>
      </c>
    </row>
    <row r="3" spans="1:7">
      <c r="A3" s="5">
        <v>1</v>
      </c>
    </row>
    <row r="4" spans="1:7">
      <c r="A4" s="3" t="s">
        <v>42</v>
      </c>
    </row>
    <row r="5" spans="1:7">
      <c r="A5" s="3" t="s">
        <v>35</v>
      </c>
      <c r="B5" s="3" t="s">
        <v>36</v>
      </c>
      <c r="C5" s="3" t="s">
        <v>0</v>
      </c>
      <c r="D5" s="3" t="s">
        <v>9</v>
      </c>
      <c r="E5" s="3" t="s">
        <v>40</v>
      </c>
      <c r="F5" s="3" t="s">
        <v>3</v>
      </c>
      <c r="G5" s="3" t="s">
        <v>43</v>
      </c>
    </row>
    <row r="6" spans="1:7">
      <c r="A6">
        <v>1</v>
      </c>
      <c r="B6">
        <v>2</v>
      </c>
      <c r="C6">
        <v>1.9380000000000001E-2</v>
      </c>
      <c r="D6">
        <v>5.917E-2</v>
      </c>
      <c r="E6">
        <f>0.0528</f>
        <v>5.28E-2</v>
      </c>
      <c r="F6">
        <v>0</v>
      </c>
      <c r="G6">
        <v>1</v>
      </c>
    </row>
    <row r="7" spans="1:7">
      <c r="A7">
        <v>1</v>
      </c>
      <c r="B7">
        <v>5</v>
      </c>
      <c r="C7">
        <v>5.4030000000000002E-2</v>
      </c>
      <c r="D7">
        <v>0.22303999999999999</v>
      </c>
      <c r="E7">
        <f>0.0492</f>
        <v>4.9200000000000001E-2</v>
      </c>
      <c r="F7">
        <v>0</v>
      </c>
      <c r="G7">
        <v>1</v>
      </c>
    </row>
    <row r="8" spans="1:7">
      <c r="A8">
        <v>2</v>
      </c>
      <c r="B8">
        <v>3</v>
      </c>
      <c r="C8">
        <v>4.6989999999999997E-2</v>
      </c>
      <c r="D8">
        <v>0.19797000000000001</v>
      </c>
      <c r="E8">
        <f>0.0438</f>
        <v>4.3799999999999999E-2</v>
      </c>
      <c r="F8">
        <v>0</v>
      </c>
      <c r="G8">
        <v>1</v>
      </c>
    </row>
    <row r="9" spans="1:7">
      <c r="A9">
        <v>2</v>
      </c>
      <c r="B9">
        <v>4</v>
      </c>
      <c r="C9">
        <v>5.8110000000000002E-2</v>
      </c>
      <c r="D9">
        <v>0.17632</v>
      </c>
      <c r="E9">
        <f>0.034</f>
        <v>3.4000000000000002E-2</v>
      </c>
      <c r="F9">
        <v>0</v>
      </c>
      <c r="G9">
        <v>1</v>
      </c>
    </row>
    <row r="10" spans="1:7">
      <c r="A10">
        <v>2</v>
      </c>
      <c r="B10">
        <v>5</v>
      </c>
      <c r="C10">
        <v>5.6950000000000001E-2</v>
      </c>
      <c r="D10">
        <v>0.17388000000000001</v>
      </c>
      <c r="E10">
        <f>0.0346</f>
        <v>3.4599999999999999E-2</v>
      </c>
      <c r="F10">
        <v>0</v>
      </c>
      <c r="G10">
        <v>1</v>
      </c>
    </row>
    <row r="11" spans="1:7">
      <c r="A11">
        <v>3</v>
      </c>
      <c r="B11">
        <v>4</v>
      </c>
      <c r="C11">
        <v>6.701E-2</v>
      </c>
      <c r="D11">
        <v>0.17102999999999999</v>
      </c>
      <c r="E11">
        <f>0.0128</f>
        <v>1.2800000000000001E-2</v>
      </c>
      <c r="F11">
        <v>0</v>
      </c>
      <c r="G11">
        <v>1</v>
      </c>
    </row>
    <row r="12" spans="1:7">
      <c r="A12">
        <v>4</v>
      </c>
      <c r="B12">
        <v>5</v>
      </c>
      <c r="C12">
        <v>1.3350000000000001E-2</v>
      </c>
      <c r="D12">
        <v>4.2110000000000002E-2</v>
      </c>
      <c r="E12">
        <v>0</v>
      </c>
      <c r="F12">
        <v>0</v>
      </c>
      <c r="G12">
        <v>1</v>
      </c>
    </row>
    <row r="13" spans="1:7">
      <c r="A13">
        <v>4</v>
      </c>
      <c r="B13">
        <v>7</v>
      </c>
      <c r="C13">
        <v>0</v>
      </c>
      <c r="D13">
        <v>0.20912</v>
      </c>
      <c r="E13">
        <v>0</v>
      </c>
      <c r="F13">
        <v>0</v>
      </c>
      <c r="G13">
        <v>0.97799999999999998</v>
      </c>
    </row>
    <row r="14" spans="1:7">
      <c r="A14">
        <v>4</v>
      </c>
      <c r="B14">
        <v>9</v>
      </c>
      <c r="C14">
        <v>0</v>
      </c>
      <c r="D14">
        <v>0.55618000000000001</v>
      </c>
      <c r="E14">
        <v>0</v>
      </c>
      <c r="F14">
        <v>0</v>
      </c>
      <c r="G14">
        <v>0.96899999999999997</v>
      </c>
    </row>
    <row r="15" spans="1:7">
      <c r="A15">
        <v>5</v>
      </c>
      <c r="B15">
        <v>6</v>
      </c>
      <c r="C15">
        <v>0</v>
      </c>
      <c r="D15">
        <v>0.25202000000000002</v>
      </c>
      <c r="E15">
        <v>0</v>
      </c>
      <c r="F15">
        <v>0</v>
      </c>
      <c r="G15">
        <v>0.93200000000000005</v>
      </c>
    </row>
    <row r="16" spans="1:7">
      <c r="A16">
        <v>6</v>
      </c>
      <c r="B16">
        <v>11</v>
      </c>
      <c r="C16">
        <v>9.4979999999999995E-2</v>
      </c>
      <c r="D16">
        <v>0.19889999999999999</v>
      </c>
      <c r="E16">
        <v>0</v>
      </c>
      <c r="F16">
        <v>0</v>
      </c>
      <c r="G16">
        <v>1</v>
      </c>
    </row>
    <row r="17" spans="1:7">
      <c r="A17">
        <v>6</v>
      </c>
      <c r="B17">
        <v>12</v>
      </c>
      <c r="C17">
        <v>0.12291000000000001</v>
      </c>
      <c r="D17">
        <v>0.25580999999999998</v>
      </c>
      <c r="E17">
        <v>0</v>
      </c>
      <c r="F17">
        <v>0</v>
      </c>
      <c r="G17">
        <v>1</v>
      </c>
    </row>
    <row r="18" spans="1:7">
      <c r="A18">
        <v>6</v>
      </c>
      <c r="B18">
        <v>13</v>
      </c>
      <c r="C18">
        <v>6.615E-2</v>
      </c>
      <c r="D18">
        <v>0.13027</v>
      </c>
      <c r="E18">
        <v>0</v>
      </c>
      <c r="F18">
        <v>0</v>
      </c>
      <c r="G18">
        <v>1</v>
      </c>
    </row>
    <row r="19" spans="1:7">
      <c r="A19">
        <v>7</v>
      </c>
      <c r="B19">
        <v>8</v>
      </c>
      <c r="C19">
        <v>0</v>
      </c>
      <c r="D19">
        <v>0.17615</v>
      </c>
      <c r="E19">
        <v>0</v>
      </c>
      <c r="F19">
        <v>0</v>
      </c>
      <c r="G19">
        <v>1</v>
      </c>
    </row>
    <row r="20" spans="1:7">
      <c r="A20">
        <v>7</v>
      </c>
      <c r="B20">
        <v>9</v>
      </c>
      <c r="C20">
        <v>0</v>
      </c>
      <c r="D20">
        <v>0.11001</v>
      </c>
      <c r="E20">
        <v>0</v>
      </c>
      <c r="F20">
        <v>0</v>
      </c>
      <c r="G20">
        <v>1</v>
      </c>
    </row>
    <row r="21" spans="1:7">
      <c r="A21">
        <v>9</v>
      </c>
      <c r="B21">
        <v>10</v>
      </c>
      <c r="C21">
        <v>3.1809999999999998E-2</v>
      </c>
      <c r="D21">
        <v>8.4500000000000006E-2</v>
      </c>
      <c r="E21">
        <v>0</v>
      </c>
      <c r="F21">
        <v>0</v>
      </c>
      <c r="G21">
        <v>1</v>
      </c>
    </row>
    <row r="22" spans="1:7">
      <c r="A22">
        <v>9</v>
      </c>
      <c r="B22">
        <v>14</v>
      </c>
      <c r="C22">
        <v>0.12711</v>
      </c>
      <c r="D22">
        <v>0.27038000000000001</v>
      </c>
      <c r="E22">
        <v>0</v>
      </c>
      <c r="F22">
        <v>0</v>
      </c>
      <c r="G22">
        <v>1</v>
      </c>
    </row>
    <row r="23" spans="1:7">
      <c r="A23">
        <v>10</v>
      </c>
      <c r="B23">
        <v>11</v>
      </c>
      <c r="C23">
        <v>8.2049999999999998E-2</v>
      </c>
      <c r="D23">
        <v>0.19206999999999999</v>
      </c>
      <c r="E23">
        <v>0</v>
      </c>
      <c r="F23">
        <v>0</v>
      </c>
      <c r="G23">
        <v>1</v>
      </c>
    </row>
    <row r="24" spans="1:7">
      <c r="A24">
        <v>12</v>
      </c>
      <c r="B24">
        <v>13</v>
      </c>
      <c r="C24">
        <v>0.22092000000000001</v>
      </c>
      <c r="D24">
        <v>0.19988</v>
      </c>
      <c r="E24">
        <v>0</v>
      </c>
      <c r="F24">
        <v>0</v>
      </c>
      <c r="G24">
        <v>1</v>
      </c>
    </row>
    <row r="25" spans="1:7">
      <c r="A25">
        <v>13</v>
      </c>
      <c r="B25">
        <v>14</v>
      </c>
      <c r="C25">
        <v>0.17093</v>
      </c>
      <c r="D25">
        <v>0.34802</v>
      </c>
      <c r="E25">
        <v>0</v>
      </c>
      <c r="F25">
        <v>0</v>
      </c>
      <c r="G25">
        <v>1</v>
      </c>
    </row>
    <row r="26" spans="1:7">
      <c r="A26">
        <v>9</v>
      </c>
      <c r="B26">
        <v>9</v>
      </c>
      <c r="C26" t="s">
        <v>49</v>
      </c>
      <c r="D26" t="s">
        <v>49</v>
      </c>
      <c r="E26">
        <v>0.19</v>
      </c>
      <c r="F26">
        <v>0</v>
      </c>
      <c r="G2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2B6E-74BD-40FA-8EB6-D64D8C21837A}">
  <dimension ref="A1:G2"/>
  <sheetViews>
    <sheetView topLeftCell="A13" workbookViewId="0">
      <selection activeCell="F23" sqref="F23"/>
    </sheetView>
  </sheetViews>
  <sheetFormatPr defaultRowHeight="14.4"/>
  <cols>
    <col min="1" max="1" width="10" customWidth="1"/>
    <col min="7" max="7" width="14.88671875" customWidth="1"/>
  </cols>
  <sheetData>
    <row r="1" spans="1:7">
      <c r="A1" s="3" t="s">
        <v>4</v>
      </c>
    </row>
    <row r="2" spans="1:7">
      <c r="A2" s="3" t="s">
        <v>35</v>
      </c>
      <c r="B2" s="3" t="s">
        <v>36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34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3A31-1E5A-4104-8C10-8E6599437516}">
  <dimension ref="A1:B5"/>
  <sheetViews>
    <sheetView workbookViewId="0">
      <selection activeCell="B3" sqref="B3"/>
    </sheetView>
  </sheetViews>
  <sheetFormatPr defaultRowHeight="14.4"/>
  <cols>
    <col min="1" max="1" width="22" customWidth="1"/>
    <col min="2" max="2" width="18.5546875" customWidth="1"/>
    <col min="3" max="3" width="15" customWidth="1"/>
    <col min="4" max="4" width="15.88671875" customWidth="1"/>
  </cols>
  <sheetData>
    <row r="1" spans="1:2">
      <c r="A1" s="3" t="s">
        <v>10</v>
      </c>
    </row>
    <row r="2" spans="1:2">
      <c r="A2" s="5" t="s">
        <v>6</v>
      </c>
      <c r="B2" s="1">
        <f>B3*500</f>
        <v>30000</v>
      </c>
    </row>
    <row r="3" spans="1:2">
      <c r="A3" t="s">
        <v>29</v>
      </c>
      <c r="B3" s="2">
        <v>60</v>
      </c>
    </row>
    <row r="4" spans="1:2">
      <c r="A4" t="s">
        <v>30</v>
      </c>
      <c r="B4">
        <v>1</v>
      </c>
    </row>
    <row r="5" spans="1:2">
      <c r="A5" t="s">
        <v>31</v>
      </c>
      <c r="B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B373-2341-40B6-A375-7BA50357479A}">
  <dimension ref="A1:C12"/>
  <sheetViews>
    <sheetView workbookViewId="0">
      <selection activeCell="B8" sqref="B8"/>
    </sheetView>
  </sheetViews>
  <sheetFormatPr defaultRowHeight="14.4"/>
  <cols>
    <col min="1" max="1" width="30.109375" customWidth="1"/>
  </cols>
  <sheetData>
    <row r="1" spans="1:3">
      <c r="A1" s="3" t="s">
        <v>18</v>
      </c>
    </row>
    <row r="2" spans="1:3">
      <c r="A2" s="3" t="s">
        <v>38</v>
      </c>
      <c r="B2" s="3" t="s">
        <v>39</v>
      </c>
      <c r="C2" s="3"/>
    </row>
    <row r="3" spans="1:3">
      <c r="A3" t="s">
        <v>25</v>
      </c>
      <c r="B3">
        <v>2</v>
      </c>
    </row>
    <row r="4" spans="1:3">
      <c r="A4" t="s">
        <v>26</v>
      </c>
      <c r="B4">
        <v>1</v>
      </c>
    </row>
    <row r="5" spans="1:3">
      <c r="A5" t="s">
        <v>24</v>
      </c>
      <c r="B5">
        <v>1</v>
      </c>
    </row>
    <row r="6" spans="1:3">
      <c r="A6" t="s">
        <v>27</v>
      </c>
      <c r="B6">
        <v>0</v>
      </c>
    </row>
    <row r="7" spans="1:3">
      <c r="A7" t="s">
        <v>28</v>
      </c>
      <c r="B7">
        <v>2</v>
      </c>
    </row>
    <row r="8" spans="1:3">
      <c r="A8" t="s">
        <v>20</v>
      </c>
      <c r="B8">
        <v>1</v>
      </c>
    </row>
    <row r="9" spans="1:3">
      <c r="A9" t="s">
        <v>21</v>
      </c>
      <c r="B9">
        <v>1</v>
      </c>
    </row>
    <row r="10" spans="1:3">
      <c r="A10" t="s">
        <v>22</v>
      </c>
      <c r="B10">
        <v>0</v>
      </c>
    </row>
    <row r="11" spans="1:3">
      <c r="A11" t="s">
        <v>23</v>
      </c>
      <c r="B11">
        <v>0</v>
      </c>
    </row>
    <row r="12" spans="1:3">
      <c r="A12" t="s">
        <v>41</v>
      </c>
      <c r="B1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</vt:lpstr>
      <vt:lpstr>Apparatus</vt:lpstr>
      <vt:lpstr>NetworkLine_IEEE</vt:lpstr>
      <vt:lpstr>NetworkLine</vt:lpstr>
      <vt:lpstr>Basic</vt:lpstr>
      <vt:lpstr>Advance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admin_user</dc:creator>
  <cp:lastModifiedBy>Trager Joswig-Jones</cp:lastModifiedBy>
  <dcterms:created xsi:type="dcterms:W3CDTF">2015-06-05T18:17:20Z</dcterms:created>
  <dcterms:modified xsi:type="dcterms:W3CDTF">2025-10-17T02:25:19Z</dcterms:modified>
</cp:coreProperties>
</file>