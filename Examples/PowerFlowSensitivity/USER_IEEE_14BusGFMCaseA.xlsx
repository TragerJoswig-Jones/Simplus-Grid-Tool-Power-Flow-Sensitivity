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rager Joswig-Jones\GithubRepos\Simplus-Grid-Tool\Examples\PowerFlowSensitivity\"/>
    </mc:Choice>
  </mc:AlternateContent>
  <xr:revisionPtr revIDLastSave="0" documentId="13_ncr:1_{E2514518-0A98-48C9-BAE8-ECCED644372D}" xr6:coauthVersionLast="47" xr6:coauthVersionMax="47" xr10:uidLastSave="{00000000-0000-0000-0000-000000000000}"/>
  <bookViews>
    <workbookView xWindow="58110" yWindow="4545" windowWidth="17280" windowHeight="888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1" l="1"/>
  <c r="G16" i="1"/>
  <c r="H15" i="1"/>
  <c r="G15" i="1"/>
  <c r="H14" i="1"/>
  <c r="G14" i="1"/>
  <c r="H13" i="1"/>
  <c r="G13" i="1"/>
  <c r="H12" i="1"/>
  <c r="G12" i="1"/>
  <c r="H11" i="1"/>
  <c r="G11" i="1"/>
  <c r="H8" i="1"/>
  <c r="G8" i="1"/>
  <c r="F8" i="1"/>
  <c r="H7" i="1"/>
  <c r="G7" i="1"/>
  <c r="H6" i="1"/>
  <c r="G6" i="1"/>
  <c r="H5" i="1"/>
  <c r="G5" i="1"/>
  <c r="F5" i="1"/>
  <c r="H4" i="1"/>
  <c r="G4" i="1"/>
  <c r="F4" i="1"/>
  <c r="J12" i="1"/>
  <c r="I12" i="1"/>
  <c r="I4" i="1"/>
  <c r="J4" i="1"/>
  <c r="J5" i="1"/>
  <c r="I8" i="1"/>
  <c r="J8" i="1"/>
  <c r="I10" i="1"/>
  <c r="J10" i="1"/>
  <c r="B2" i="4"/>
  <c r="E11" i="5"/>
  <c r="E10" i="5"/>
  <c r="E9" i="5"/>
  <c r="E8" i="5"/>
  <c r="E7" i="5"/>
  <c r="E6" i="5"/>
</calcChain>
</file>

<file path=xl/sharedStrings.xml><?xml version="1.0" encoding="utf-8"?>
<sst xmlns="http://schemas.openxmlformats.org/spreadsheetml/2006/main" count="55" uniqueCount="50">
  <si>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</si>
  <si>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</si>
  <si>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</si>
  <si>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</si>
  <si>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</si>
  <si>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</si>
  <si>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</si>
  <si>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</si>
  <si>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</si>
  <si>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</si>
  <si>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</si>
  <si>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</si>
  <si>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</si>
  <si>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</si>
  <si>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</si>
  <si>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</si>
  <si>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</si>
  <si>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</si>
  <si>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</si>
  <si>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Bus number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</si>
  <si>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</si>
  <si>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</si>
  <si>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</si>
  <si>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</si>
  <si>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</si>
  <si>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</si>
  <si>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</si>
  <si>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</si>
  <si>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</si>
  <si>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</si>
  <si>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</si>
  <si>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</si>
  <si>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</si>
  <si>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</si>
  <si>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</si>
  <si>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</si>
  <si>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</si>
  <si>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</si>
  <si>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</si>
  <si>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</si>
  <si>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</si>
  <si>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</si>
  <si>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</si>
  <si>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</si>
  <si>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</si>
  <si>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</si>
  <si>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Apparatus type</t>
    <phoneticPr fontId="1" type="noConversion"/>
  </si>
  <si>
    <t>Apparatus parameters</t>
    <phoneticPr fontId="1" type="noConversion"/>
  </si>
  <si>
    <t>This sheet summarizes the apparatuses connected to buses.</t>
    <phoneticPr fontId="1" type="noConversion"/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</si>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</sst>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B8" sqref="B8"/>
    </sheetView>
  </sheetViews>
  <sheetFormatPr defaultRowHeight="14.4"/>
  <cols>
    <col min="4" max="4" width="11.109375" customWidth="1"/>
    <col min="9" max="9" width="10.88671875" customWidth="1"/>
    <col min="10" max="10" width="11.10937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17</v>
      </c>
      <c r="D2" s="3" t="s">
        <v>37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44</v>
      </c>
      <c r="L2" s="3" t="s">
        <v>45</v>
      </c>
    </row>
    <row r="3" spans="1:12">
      <c r="A3" s="6">
        <v>1</v>
      </c>
      <c r="B3">
        <v>1</v>
      </c>
      <c r="C3">
        <v>1.01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s="6">
        <v>2</v>
      </c>
      <c r="B4">
        <v>3</v>
      </c>
      <c r="C4">
        <v>1.0449999999999999</v>
      </c>
      <c r="D4">
        <v>0</v>
      </c>
      <c r="E4">
        <v>0.1</v>
      </c>
      <c r="F4">
        <f>42.4/100</f>
        <v>0.42399999999999999</v>
      </c>
      <c r="G4">
        <f>21.7/100 +0.5</f>
        <v>0.71699999999999997</v>
      </c>
      <c r="H4">
        <f>12.7/100</f>
        <v>0.127</v>
      </c>
      <c r="I4">
        <f>-40/100</f>
        <v>-0.4</v>
      </c>
      <c r="J4">
        <f>50/100</f>
        <v>0.5</v>
      </c>
      <c r="K4">
        <v>1</v>
      </c>
      <c r="L4">
        <v>1</v>
      </c>
    </row>
    <row r="5" spans="1:12">
      <c r="A5" s="6">
        <v>3</v>
      </c>
      <c r="B5">
        <v>3</v>
      </c>
      <c r="C5">
        <v>1.01</v>
      </c>
      <c r="D5">
        <v>0</v>
      </c>
      <c r="E5">
        <v>0.2</v>
      </c>
      <c r="F5">
        <f>23.4/100</f>
        <v>0.23399999999999999</v>
      </c>
      <c r="G5">
        <f>94.2/100</f>
        <v>0.94200000000000006</v>
      </c>
      <c r="H5">
        <f>19/100</f>
        <v>0.19</v>
      </c>
      <c r="I5">
        <v>0</v>
      </c>
      <c r="J5">
        <f>40/100</f>
        <v>0.4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 + 0.2</f>
        <v>0.67799999999999994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 + 0.2</f>
        <v>0.27600000000000002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3</v>
      </c>
      <c r="C8">
        <v>1</v>
      </c>
      <c r="D8">
        <v>0</v>
      </c>
      <c r="E8">
        <v>0.5</v>
      </c>
      <c r="F8">
        <f>12.2/100</f>
        <v>0.122</v>
      </c>
      <c r="G8">
        <f>11.2/100</f>
        <v>0.11199999999999999</v>
      </c>
      <c r="H8">
        <f>7.5/100</f>
        <v>7.4999999999999997E-2</v>
      </c>
      <c r="I8">
        <f>-6/100</f>
        <v>-0.06</v>
      </c>
      <c r="J8">
        <f>24/100</f>
        <v>0.24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2</v>
      </c>
      <c r="C10">
        <v>1</v>
      </c>
      <c r="D10">
        <v>0</v>
      </c>
      <c r="E10">
        <v>1.2</v>
      </c>
      <c r="F10">
        <v>0.1</v>
      </c>
      <c r="G10">
        <v>0</v>
      </c>
      <c r="H10">
        <v>-0.1</v>
      </c>
      <c r="I10">
        <f>-6/100</f>
        <v>-0.06</v>
      </c>
      <c r="J10">
        <f>24/100</f>
        <v>0.24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29.5/100</f>
        <v>0.29499999999999998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 s="6">
        <v>10</v>
      </c>
      <c r="B12">
        <v>3</v>
      </c>
      <c r="C12">
        <v>1</v>
      </c>
      <c r="D12">
        <v>0</v>
      </c>
      <c r="E12">
        <v>1.2</v>
      </c>
      <c r="F12">
        <v>0.05</v>
      </c>
      <c r="G12">
        <f>9/100</f>
        <v>0.09</v>
      </c>
      <c r="H12">
        <f>5.8/100</f>
        <v>5.7999999999999996E-2</v>
      </c>
      <c r="I12">
        <f>-6/100</f>
        <v>-0.06</v>
      </c>
      <c r="J12">
        <f>24/100</f>
        <v>0.24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3.5/100</f>
        <v>3.5000000000000003E-2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</v>
      </c>
      <c r="F14">
        <v>0</v>
      </c>
      <c r="G14">
        <f>6.1/100</f>
        <v>6.0999999999999999E-2</v>
      </c>
      <c r="H14">
        <f>1.6/100</f>
        <v>1.6E-2</v>
      </c>
      <c r="I14">
        <v>0</v>
      </c>
      <c r="J14">
        <v>0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13.5/100</f>
        <v>0.13500000000000001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14.9/100</f>
        <v>0.14899999999999999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L10"/>
  <sheetViews>
    <sheetView tabSelected="1" workbookViewId="0">
      <selection activeCell="C11" sqref="C11"/>
    </sheetView>
  </sheetViews>
  <sheetFormatPr defaultRowHeight="14.4"/>
  <cols>
    <col min="1" max="1" width="12.88671875" customWidth="1"/>
    <col min="2" max="2" width="29.5546875" customWidth="1"/>
    <col min="3" max="3" width="14" customWidth="1"/>
    <col min="4" max="4" width="15.109375" customWidth="1"/>
    <col min="5" max="5" width="12.44140625" customWidth="1"/>
    <col min="6" max="6" width="13.5546875" customWidth="1"/>
    <col min="7" max="7" width="13.88671875" customWidth="1"/>
    <col min="8" max="8" width="15.109375" customWidth="1"/>
    <col min="9" max="9" width="18.88671875" customWidth="1"/>
    <col min="10" max="10" width="18.5546875" customWidth="1"/>
    <col min="11" max="11" width="17.109375" customWidth="1"/>
    <col min="12" max="12" width="17.88671875" customWidth="1"/>
    <col min="13" max="13" width="14.44140625" customWidth="1"/>
    <col min="14" max="14" width="13.109375" customWidth="1"/>
  </cols>
  <sheetData>
    <row r="1" spans="1:12">
      <c r="A1" s="3" t="s">
        <v>48</v>
      </c>
    </row>
    <row r="2" spans="1:12">
      <c r="A2" s="3" t="s">
        <v>19</v>
      </c>
      <c r="B2" s="3" t="s">
        <v>46</v>
      </c>
      <c r="C2" s="3" t="s">
        <v>47</v>
      </c>
    </row>
    <row r="3" spans="1:12">
      <c r="A3" s="7">
        <v>1</v>
      </c>
      <c r="B3">
        <v>0</v>
      </c>
      <c r="C3" s="7">
        <v>3.5</v>
      </c>
      <c r="D3" s="7">
        <v>5</v>
      </c>
      <c r="E3" s="7">
        <v>0.1</v>
      </c>
      <c r="F3" s="7">
        <v>0.01</v>
      </c>
      <c r="G3" s="8"/>
      <c r="H3" s="8"/>
      <c r="I3" s="8"/>
      <c r="J3" s="9"/>
      <c r="K3" s="7"/>
    </row>
    <row r="4" spans="1:12">
      <c r="A4" s="7">
        <v>2</v>
      </c>
      <c r="B4">
        <v>10</v>
      </c>
      <c r="C4" s="7">
        <v>2.5</v>
      </c>
      <c r="D4" s="7">
        <v>1.25</v>
      </c>
      <c r="E4" s="7">
        <v>0.03</v>
      </c>
      <c r="F4" s="7">
        <v>0.01</v>
      </c>
      <c r="G4" s="7">
        <v>5</v>
      </c>
      <c r="H4" s="7">
        <v>5</v>
      </c>
      <c r="I4" s="7">
        <v>600</v>
      </c>
      <c r="J4" s="7"/>
      <c r="K4" s="7"/>
    </row>
    <row r="5" spans="1:12">
      <c r="A5" s="7">
        <v>3</v>
      </c>
      <c r="B5">
        <v>10</v>
      </c>
      <c r="C5" s="7">
        <v>2.5</v>
      </c>
      <c r="D5" s="7">
        <v>1.25</v>
      </c>
      <c r="E5" s="7">
        <v>0.03</v>
      </c>
      <c r="F5" s="7">
        <v>0.01</v>
      </c>
      <c r="G5" s="7">
        <v>5</v>
      </c>
      <c r="H5" s="7">
        <v>5</v>
      </c>
      <c r="I5" s="7">
        <v>600</v>
      </c>
      <c r="J5" s="7"/>
      <c r="K5" s="7"/>
    </row>
    <row r="6" spans="1:12">
      <c r="A6" s="7">
        <v>6</v>
      </c>
      <c r="B6">
        <v>10</v>
      </c>
      <c r="C6" s="7">
        <v>2.5</v>
      </c>
      <c r="D6" s="7">
        <v>1.25</v>
      </c>
      <c r="E6" s="7">
        <v>0.03</v>
      </c>
      <c r="F6" s="7">
        <v>0.01</v>
      </c>
      <c r="G6" s="7">
        <v>5</v>
      </c>
      <c r="H6" s="7">
        <v>5</v>
      </c>
      <c r="I6" s="7">
        <v>600</v>
      </c>
      <c r="J6" s="7"/>
      <c r="K6" s="7"/>
    </row>
    <row r="7" spans="1:12">
      <c r="A7" s="7">
        <v>8</v>
      </c>
      <c r="B7">
        <v>20</v>
      </c>
      <c r="C7" s="7">
        <v>0.05</v>
      </c>
      <c r="D7" s="7">
        <v>0.01</v>
      </c>
      <c r="E7" s="7">
        <v>0.02</v>
      </c>
      <c r="F7" s="7">
        <v>0.01</v>
      </c>
      <c r="G7" s="7">
        <v>2E-3</v>
      </c>
      <c r="H7" s="7">
        <v>0.01</v>
      </c>
      <c r="I7" s="7">
        <v>0.05</v>
      </c>
      <c r="J7" s="7">
        <v>5</v>
      </c>
      <c r="K7" s="7">
        <v>300</v>
      </c>
      <c r="L7">
        <v>600</v>
      </c>
    </row>
    <row r="8" spans="1:12">
      <c r="A8" s="7">
        <v>10</v>
      </c>
      <c r="B8">
        <v>10</v>
      </c>
      <c r="C8" s="7">
        <v>2.5</v>
      </c>
      <c r="D8" s="7">
        <v>1.25</v>
      </c>
      <c r="E8" s="7">
        <v>0.03</v>
      </c>
      <c r="F8" s="7">
        <v>0.01</v>
      </c>
      <c r="G8" s="7">
        <v>5</v>
      </c>
      <c r="H8" s="7">
        <v>5</v>
      </c>
      <c r="I8" s="7">
        <v>600</v>
      </c>
      <c r="J8" s="7"/>
      <c r="K8" s="7"/>
    </row>
    <row r="9" spans="1:12">
      <c r="C9" s="7"/>
      <c r="D9" s="7"/>
      <c r="E9" s="7"/>
      <c r="F9" s="7"/>
      <c r="G9" s="7"/>
      <c r="H9" s="7"/>
      <c r="I9" s="7"/>
      <c r="J9" s="7"/>
      <c r="K9" s="7"/>
    </row>
    <row r="10" spans="1:12">
      <c r="C10" s="7"/>
      <c r="D10" s="7"/>
      <c r="E10" s="7"/>
      <c r="F10" s="7"/>
      <c r="G10" s="7"/>
      <c r="H10" s="7"/>
      <c r="I10" s="7"/>
      <c r="J10" s="7"/>
      <c r="K1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workbookViewId="0">
      <selection activeCell="B19" sqref="B19"/>
    </sheetView>
  </sheetViews>
  <sheetFormatPr defaultRowHeight="14.4"/>
  <cols>
    <col min="5" max="5" width="10.109375" bestFit="1" customWidth="1"/>
    <col min="7" max="7" width="15.554687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9</v>
      </c>
      <c r="E5" s="3" t="s">
        <v>40</v>
      </c>
      <c r="F5" s="3" t="s">
        <v>3</v>
      </c>
      <c r="G5" s="3" t="s">
        <v>43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49</v>
      </c>
      <c r="D26" t="s">
        <v>49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4.4"/>
  <cols>
    <col min="1" max="1" width="10" customWidth="1"/>
    <col min="7" max="7" width="14.88671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B3" sqref="B3"/>
    </sheetView>
  </sheetViews>
  <sheetFormatPr defaultRowHeight="14.4"/>
  <cols>
    <col min="1" max="1" width="22" customWidth="1"/>
    <col min="2" max="2" width="18.5546875" customWidth="1"/>
    <col min="3" max="3" width="15" customWidth="1"/>
    <col min="4" max="4" width="15.88671875" customWidth="1"/>
  </cols>
  <sheetData>
    <row r="1" spans="1:2">
      <c r="A1" s="3" t="s">
        <v>10</v>
      </c>
    </row>
    <row r="2" spans="1:2">
      <c r="A2" s="5" t="s">
        <v>6</v>
      </c>
      <c r="B2" s="1">
        <f>B3*500</f>
        <v>30000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B10" sqref="B10"/>
    </sheetView>
  </sheetViews>
  <sheetFormatPr defaultRowHeight="14.4"/>
  <cols>
    <col min="1" max="1" width="30.109375" customWidth="1"/>
  </cols>
  <sheetData>
    <row r="1" spans="1:3">
      <c r="A1" s="3" t="s">
        <v>18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0</v>
      </c>
    </row>
    <row r="9" spans="1:3">
      <c r="A9" t="s">
        <v>21</v>
      </c>
      <c r="B9">
        <v>1</v>
      </c>
    </row>
    <row r="10" spans="1:3">
      <c r="A10" t="s">
        <v>22</v>
      </c>
      <c r="B10">
        <v>0</v>
      </c>
    </row>
    <row r="11" spans="1:3">
      <c r="A11" t="s">
        <v>23</v>
      </c>
      <c r="B11">
        <v>0</v>
      </c>
    </row>
    <row r="12" spans="1:3">
      <c r="A12" t="s">
        <v>41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Trager Joswig-Jones</cp:lastModifiedBy>
  <dcterms:created xsi:type="dcterms:W3CDTF">2015-06-05T18:17:20Z</dcterms:created>
  <dcterms:modified xsi:type="dcterms:W3CDTF">2025-10-17T02:24:33Z</dcterms:modified>
</cp:coreProperties>
</file>